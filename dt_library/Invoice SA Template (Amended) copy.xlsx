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fc7ba53967e7bd1/4. ACCOUNTING/INVOICES/DT INVOICE TEMPLATES/"/>
    </mc:Choice>
  </mc:AlternateContent>
  <xr:revisionPtr revIDLastSave="11" documentId="8_{B1937C60-7DD6-9B48-8B6C-FF280D4B02D0}" xr6:coauthVersionLast="47" xr6:coauthVersionMax="47" xr10:uidLastSave="{A1A9A750-9AEB-294E-AE0B-77195D1BA674}"/>
  <bookViews>
    <workbookView xWindow="0" yWindow="500" windowWidth="24200" windowHeight="13600" xr2:uid="{00000000-000D-0000-FFFF-FFFF00000000}"/>
  </bookViews>
  <sheets>
    <sheet name="SA Pro forma Invoice" sheetId="1" r:id="rId1"/>
  </sheets>
  <definedNames>
    <definedName name="InvoiceNoDetails">"InvoiceDetails[Invoice No]"</definedName>
    <definedName name="_xlnm.Print_Area" localSheetId="0">'SA Pro forma Invoice'!$A$1:$D$42</definedName>
    <definedName name="rngInvoice">'SA Pro forma Invoice'!$D$3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22" i="1" l="1"/>
  <c r="D25" i="1" s="1"/>
  <c r="D24" i="1" l="1"/>
  <c r="D23" i="1" s="1"/>
</calcChain>
</file>

<file path=xl/sharedStrings.xml><?xml version="1.0" encoding="utf-8"?>
<sst xmlns="http://schemas.openxmlformats.org/spreadsheetml/2006/main" count="31" uniqueCount="31">
  <si>
    <t>Invoice No.</t>
  </si>
  <si>
    <t>Invoice Date:</t>
  </si>
  <si>
    <t xml:space="preserve">CLIENT Ref: </t>
  </si>
  <si>
    <t>NTB Reg No. TSO01063</t>
  </si>
  <si>
    <t>www.desert-tracks.com</t>
  </si>
  <si>
    <t>Description</t>
  </si>
  <si>
    <t>Pax</t>
  </si>
  <si>
    <t>Total</t>
  </si>
  <si>
    <t>Amount</t>
  </si>
  <si>
    <t xml:space="preserve">Subtotal </t>
  </si>
  <si>
    <t xml:space="preserve">Total Vat </t>
  </si>
  <si>
    <t xml:space="preserve">Total exclusive </t>
  </si>
  <si>
    <t xml:space="preserve">TOTAL  </t>
  </si>
  <si>
    <t>Thank you - Your business is appreciated!</t>
  </si>
  <si>
    <t>KINDLY EMAIL PROOF OF PAYMENT TO bookings@desert-tracks.com</t>
  </si>
  <si>
    <t xml:space="preserve">Banking Details for ZAR - EFT </t>
  </si>
  <si>
    <t>19 EDISON WAY
UNIT 129 MILLENIUM BUSINESS PARK</t>
  </si>
  <si>
    <t>CENTURY CITY - WESTERN CAPE</t>
  </si>
  <si>
    <t>Business Reg No. 2023 / 571033
bookings@desert-tracks.com</t>
  </si>
  <si>
    <t>+264 (0)81 867 0705</t>
  </si>
  <si>
    <t>STANDARD BANK - BUSINESS CURRENT ACCOUNT</t>
  </si>
  <si>
    <r>
      <t xml:space="preserve">THIBAULT SQUARE  </t>
    </r>
    <r>
      <rPr>
        <sz val="11"/>
        <color theme="1"/>
        <rFont val="Century Gothic"/>
        <family val="1"/>
        <scheme val="minor"/>
      </rPr>
      <t>(Corner Hans Strydom, Long St, Cape Town City Centre, 8001, South Africa)</t>
    </r>
  </si>
  <si>
    <t>DESERT TRACKS BOOKINGS AND SAFARI (Pty) Ltd</t>
  </si>
  <si>
    <t>ACCOUNT NUMBER - 070185077</t>
  </si>
  <si>
    <t>BRANCH CODE - 051001</t>
  </si>
  <si>
    <t>SWIFT ADDRESS - SBZA ZA JJ</t>
  </si>
  <si>
    <t>Namibia Safari (24 April - 9 May 2023)</t>
  </si>
  <si>
    <t>DT-</t>
  </si>
  <si>
    <t>TOUR TYPE</t>
  </si>
  <si>
    <t>20 % Deposit due = ZAR</t>
  </si>
  <si>
    <t>ACCOUNT NAME - DESERT TRACKS BOOKINGS AND SAFARI (Pty)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</si>
</sst>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ZAR]\ #,##0.00"/>
  </numFmts>
  <fonts count="38" x14ac:knownFonts="1">
    <font>
      <sz val="12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8"/>
      <color theme="1"/>
      <name val="Century Gothic"/>
      <family val="2"/>
      <scheme val="minor"/>
    </font>
    <font>
      <sz val="12"/>
      <name val="Century Gothic"/>
      <family val="2"/>
      <scheme val="minor"/>
    </font>
    <font>
      <b/>
      <sz val="12"/>
      <name val="Century Gothic"/>
      <family val="2"/>
      <scheme val="minor"/>
    </font>
    <font>
      <sz val="8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u/>
      <sz val="12"/>
      <color theme="10"/>
      <name val="Century Gothic"/>
      <family val="2"/>
      <scheme val="minor"/>
    </font>
    <font>
      <u/>
      <sz val="12"/>
      <color theme="11"/>
      <name val="Century Gothic"/>
      <family val="2"/>
      <scheme val="minor"/>
    </font>
    <font>
      <sz val="20"/>
      <name val="Century Gothic"/>
      <family val="2"/>
      <scheme val="minor"/>
    </font>
    <font>
      <b/>
      <sz val="12"/>
      <color theme="6" tint="-0.249977111117893"/>
      <name val="Century Gothic"/>
      <family val="2"/>
      <scheme val="minor"/>
    </font>
    <font>
      <b/>
      <sz val="16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4"/>
      <color rgb="FF000000"/>
      <name val="Arial"/>
      <family val="2"/>
    </font>
    <font>
      <b/>
      <sz val="12"/>
      <color rgb="FFFF0000"/>
      <name val="Century Gothic"/>
      <family val="2"/>
      <scheme val="minor"/>
    </font>
    <font>
      <b/>
      <sz val="12"/>
      <color theme="1"/>
      <name val="Century Gothic"/>
      <family val="1"/>
      <scheme val="minor"/>
    </font>
    <font>
      <b/>
      <sz val="14"/>
      <color theme="1"/>
      <name val="Century Gothic"/>
      <family val="2"/>
      <scheme val="minor"/>
    </font>
    <font>
      <sz val="12"/>
      <name val="Century Gothic"/>
      <family val="1"/>
      <scheme val="minor"/>
    </font>
    <font>
      <sz val="12"/>
      <name val="Century Gothic (Body)"/>
    </font>
    <font>
      <b/>
      <sz val="11"/>
      <name val="Century Gothic"/>
      <family val="2"/>
      <scheme val="minor"/>
    </font>
    <font>
      <sz val="12"/>
      <color rgb="FF000000"/>
      <name val="Century Gothic"/>
      <family val="1"/>
      <scheme val="major"/>
    </font>
    <font>
      <sz val="12"/>
      <color theme="1" tint="0.499984740745262"/>
      <name val="Century Gothic"/>
      <family val="1"/>
      <scheme val="minor"/>
    </font>
    <font>
      <b/>
      <sz val="16"/>
      <color theme="1"/>
      <name val="Century Gothic"/>
      <family val="1"/>
      <scheme val="minor"/>
    </font>
    <font>
      <sz val="12"/>
      <color rgb="FFFF0000"/>
      <name val="Century Gothic"/>
      <family val="1"/>
      <scheme val="minor"/>
    </font>
    <font>
      <b/>
      <sz val="11"/>
      <color theme="1"/>
      <name val="Century Gothic"/>
      <family val="2"/>
      <scheme val="minor"/>
    </font>
    <font>
      <b/>
      <sz val="16"/>
      <name val="Century Gothic"/>
      <family val="1"/>
      <scheme val="minor"/>
    </font>
    <font>
      <b/>
      <sz val="14"/>
      <color theme="1"/>
      <name val="Century Gothic"/>
      <family val="1"/>
      <scheme val="minor"/>
    </font>
    <font>
      <b/>
      <u/>
      <sz val="12"/>
      <name val="Century Gothic"/>
      <family val="1"/>
      <scheme val="minor"/>
    </font>
    <font>
      <sz val="12"/>
      <color theme="1"/>
      <name val="Century Gothic"/>
      <family val="1"/>
      <scheme val="minor"/>
    </font>
    <font>
      <sz val="11"/>
      <color theme="1"/>
      <name val="Century Gothic"/>
      <family val="1"/>
      <scheme val="minor"/>
    </font>
    <font>
      <b/>
      <sz val="11"/>
      <color theme="1"/>
      <name val="Century Gothic"/>
      <family val="1"/>
      <scheme val="minor"/>
    </font>
    <font>
      <sz val="14"/>
      <color rgb="FFFF0000"/>
      <name val="Century Gothic"/>
      <family val="1"/>
      <scheme val="minor"/>
    </font>
    <font>
      <b/>
      <sz val="14"/>
      <color rgb="FFFF0000"/>
      <name val="Century Gothic"/>
      <family val="1"/>
      <scheme val="minor"/>
    </font>
    <font>
      <sz val="12"/>
      <color rgb="FFFF0000"/>
      <name val="Century Gothic"/>
      <family val="2"/>
      <scheme val="minor"/>
    </font>
    <font>
      <b/>
      <sz val="16"/>
      <color rgb="FFFF0000"/>
      <name val="Century Gothic"/>
      <family val="2"/>
      <scheme val="minor"/>
    </font>
    <font>
      <b/>
      <sz val="12"/>
      <color rgb="FFFF0000"/>
      <name val="Century Gothic"/>
      <family val="1"/>
      <scheme val="minor"/>
    </font>
    <font>
      <u/>
      <sz val="12"/>
      <color rgb="FFFF0000"/>
      <name val="Century Gothic"/>
      <family val="2"/>
      <scheme val="minor"/>
    </font>
    <font>
      <sz val="12"/>
      <color theme="1"/>
      <name val="Century Gothic (Body)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7D89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6" tint="-0.249977111117893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medium">
        <color theme="0" tint="-0.34998626667073579"/>
      </left>
      <right/>
      <top style="thin">
        <color indexed="64"/>
      </top>
      <bottom style="medium">
        <color theme="0" tint="-0.34998626667073579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indexed="64"/>
      </bottom>
      <diagonal/>
    </border>
    <border>
      <left/>
      <right/>
      <top style="medium">
        <color theme="0" tint="-0.34998626667073579"/>
      </top>
      <bottom style="medium">
        <color indexed="64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1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2" xfId="0" applyFont="1" applyBorder="1"/>
    <xf numFmtId="0" fontId="13" fillId="0" borderId="0" xfId="0" applyFont="1"/>
    <xf numFmtId="0" fontId="0" fillId="0" borderId="0" xfId="0" applyAlignment="1">
      <alignment vertical="center"/>
    </xf>
    <xf numFmtId="0" fontId="2" fillId="0" borderId="0" xfId="1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left" indent="1"/>
    </xf>
    <xf numFmtId="0" fontId="0" fillId="0" borderId="0" xfId="0" applyAlignment="1" applyProtection="1">
      <alignment horizontal="left" indent="1"/>
      <protection locked="0"/>
    </xf>
    <xf numFmtId="165" fontId="4" fillId="0" borderId="3" xfId="0" applyNumberFormat="1" applyFont="1" applyBorder="1" applyAlignment="1">
      <alignment horizontal="right" vertical="center" indent="1"/>
    </xf>
    <xf numFmtId="165" fontId="0" fillId="0" borderId="3" xfId="0" applyNumberFormat="1" applyBorder="1" applyAlignment="1">
      <alignment horizontal="right" vertical="center" indent="1"/>
    </xf>
    <xf numFmtId="165" fontId="0" fillId="2" borderId="9" xfId="0" applyNumberFormat="1" applyFill="1" applyBorder="1" applyAlignment="1">
      <alignment horizontal="right" vertical="center" indent="1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165" fontId="0" fillId="2" borderId="5" xfId="0" applyNumberFormat="1" applyFill="1" applyBorder="1" applyAlignment="1">
      <alignment horizontal="right" vertical="center" indent="1"/>
    </xf>
    <xf numFmtId="0" fontId="3" fillId="0" borderId="7" xfId="0" applyFont="1" applyBorder="1"/>
    <xf numFmtId="0" fontId="3" fillId="0" borderId="14" xfId="0" applyFont="1" applyBorder="1"/>
    <xf numFmtId="0" fontId="16" fillId="0" borderId="0" xfId="0" applyFont="1" applyAlignment="1">
      <alignment horizontal="left" vertical="center" indent="3"/>
    </xf>
    <xf numFmtId="0" fontId="3" fillId="0" borderId="0" xfId="0" applyFont="1" applyAlignment="1">
      <alignment horizontal="left" indent="2"/>
    </xf>
    <xf numFmtId="0" fontId="3" fillId="0" borderId="16" xfId="0" applyFont="1" applyBorder="1"/>
    <xf numFmtId="0" fontId="3" fillId="0" borderId="18" xfId="0" applyFont="1" applyBorder="1"/>
    <xf numFmtId="0" fontId="3" fillId="0" borderId="19" xfId="0" applyFont="1" applyBorder="1"/>
    <xf numFmtId="0" fontId="19" fillId="2" borderId="12" xfId="8" applyFont="1" applyFill="1" applyBorder="1" applyAlignment="1">
      <alignment horizontal="center" vertical="center"/>
    </xf>
    <xf numFmtId="165" fontId="19" fillId="2" borderId="12" xfId="8" applyNumberFormat="1" applyFont="1" applyFill="1" applyBorder="1" applyAlignment="1">
      <alignment horizontal="right" vertical="center" indent="1"/>
    </xf>
    <xf numFmtId="15" fontId="18" fillId="2" borderId="4" xfId="0" applyNumberFormat="1" applyFont="1" applyFill="1" applyBorder="1" applyAlignment="1">
      <alignment horizontal="left" vertical="center" indent="1"/>
    </xf>
    <xf numFmtId="15" fontId="17" fillId="2" borderId="4" xfId="0" applyNumberFormat="1" applyFont="1" applyFill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2"/>
    </xf>
    <xf numFmtId="0" fontId="3" fillId="0" borderId="0" xfId="0" applyFont="1" applyAlignment="1" applyProtection="1">
      <alignment horizontal="left" indent="1"/>
      <protection locked="0"/>
    </xf>
    <xf numFmtId="0" fontId="20" fillId="0" borderId="0" xfId="0" applyFont="1" applyAlignment="1">
      <alignment horizontal="left" indent="1"/>
    </xf>
    <xf numFmtId="0" fontId="7" fillId="0" borderId="0" xfId="4" applyBorder="1" applyAlignment="1" applyProtection="1">
      <alignment horizontal="left" indent="1"/>
      <protection locked="0"/>
    </xf>
    <xf numFmtId="0" fontId="6" fillId="0" borderId="0" xfId="4" applyFont="1" applyBorder="1" applyAlignment="1" applyProtection="1">
      <alignment horizontal="left" indent="1"/>
      <protection locked="0"/>
    </xf>
    <xf numFmtId="0" fontId="3" fillId="0" borderId="0" xfId="0" applyFont="1" applyProtection="1">
      <protection locked="0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center" vertical="center"/>
    </xf>
    <xf numFmtId="165" fontId="4" fillId="3" borderId="3" xfId="0" applyNumberFormat="1" applyFont="1" applyFill="1" applyBorder="1" applyAlignment="1">
      <alignment horizontal="right" vertical="center" indent="1"/>
    </xf>
    <xf numFmtId="0" fontId="22" fillId="0" borderId="0" xfId="0" applyFont="1" applyAlignment="1">
      <alignment horizontal="left" indent="2"/>
    </xf>
    <xf numFmtId="0" fontId="0" fillId="0" borderId="0" xfId="0" applyAlignment="1" applyProtection="1">
      <alignment horizontal="left" vertical="top" wrapText="1" indent="1"/>
      <protection locked="0"/>
    </xf>
    <xf numFmtId="0" fontId="24" fillId="0" borderId="0" xfId="0" applyFont="1" applyAlignment="1">
      <alignment horizontal="left" indent="2"/>
    </xf>
    <xf numFmtId="15" fontId="23" fillId="2" borderId="4" xfId="0" applyNumberFormat="1" applyFont="1" applyFill="1" applyBorder="1" applyAlignment="1">
      <alignment horizontal="left" vertical="center" indent="1"/>
    </xf>
    <xf numFmtId="0" fontId="26" fillId="0" borderId="0" xfId="0" applyFont="1" applyAlignment="1">
      <alignment horizontal="left" indent="2"/>
    </xf>
    <xf numFmtId="0" fontId="7" fillId="0" borderId="0" xfId="4" quotePrefix="1" applyAlignment="1">
      <alignment horizontal="left" indent="2"/>
    </xf>
    <xf numFmtId="0" fontId="21" fillId="0" borderId="0" xfId="0" applyFont="1" applyAlignment="1">
      <alignment horizontal="left" vertical="center" indent="2"/>
    </xf>
    <xf numFmtId="0" fontId="1" fillId="3" borderId="0" xfId="0" applyFont="1" applyFill="1" applyAlignment="1">
      <alignment horizontal="left" vertical="center" indent="1"/>
    </xf>
    <xf numFmtId="165" fontId="0" fillId="2" borderId="10" xfId="0" applyNumberFormat="1" applyFill="1" applyBorder="1" applyAlignment="1">
      <alignment horizontal="right" vertical="center" indent="1"/>
    </xf>
    <xf numFmtId="165" fontId="0" fillId="2" borderId="6" xfId="0" applyNumberFormat="1" applyFill="1" applyBorder="1" applyAlignment="1">
      <alignment horizontal="right" vertical="center" wrapText="1" indent="1"/>
    </xf>
    <xf numFmtId="165" fontId="0" fillId="2" borderId="6" xfId="0" applyNumberFormat="1" applyFill="1" applyBorder="1" applyAlignment="1">
      <alignment horizontal="right" vertical="center" indent="1"/>
    </xf>
    <xf numFmtId="165" fontId="4" fillId="2" borderId="6" xfId="0" applyNumberFormat="1" applyFont="1" applyFill="1" applyBorder="1" applyAlignment="1">
      <alignment horizontal="right" vertical="center" indent="1"/>
    </xf>
    <xf numFmtId="165" fontId="19" fillId="2" borderId="13" xfId="8" applyNumberFormat="1" applyFont="1" applyFill="1" applyBorder="1" applyAlignment="1">
      <alignment horizontal="right" vertical="center" indent="1"/>
    </xf>
    <xf numFmtId="165" fontId="4" fillId="0" borderId="0" xfId="0" applyNumberFormat="1" applyFont="1" applyAlignment="1">
      <alignment horizontal="right" vertical="center" indent="1"/>
    </xf>
    <xf numFmtId="165" fontId="6" fillId="3" borderId="0" xfId="0" applyNumberFormat="1" applyFont="1" applyFill="1" applyAlignment="1">
      <alignment horizontal="right" vertical="center" indent="1"/>
    </xf>
    <xf numFmtId="0" fontId="0" fillId="0" borderId="0" xfId="0" applyAlignment="1" applyProtection="1">
      <alignment horizontal="left" wrapText="1" indent="1"/>
      <protection locked="0"/>
    </xf>
    <xf numFmtId="0" fontId="0" fillId="0" borderId="0" xfId="0" quotePrefix="1" applyAlignment="1" applyProtection="1">
      <alignment horizontal="left" indent="1"/>
      <protection locked="0"/>
    </xf>
    <xf numFmtId="0" fontId="30" fillId="0" borderId="0" xfId="0" applyFont="1" applyAlignment="1">
      <alignment horizontal="left" indent="2"/>
    </xf>
    <xf numFmtId="0" fontId="28" fillId="0" borderId="0" xfId="1" applyFont="1" applyBorder="1" applyAlignment="1" applyProtection="1">
      <alignment horizontal="left" vertical="center" indent="1"/>
      <protection locked="0"/>
    </xf>
    <xf numFmtId="0" fontId="31" fillId="2" borderId="11" xfId="8" applyFont="1" applyFill="1" applyBorder="1" applyAlignment="1">
      <alignment horizontal="center" vertical="center"/>
    </xf>
    <xf numFmtId="15" fontId="32" fillId="2" borderId="4" xfId="0" applyNumberFormat="1" applyFont="1" applyFill="1" applyBorder="1" applyAlignment="1">
      <alignment horizontal="center" vertical="center"/>
    </xf>
    <xf numFmtId="15" fontId="23" fillId="2" borderId="8" xfId="0" applyNumberFormat="1" applyFont="1" applyFill="1" applyBorder="1" applyAlignment="1">
      <alignment horizontal="left" vertical="center" indent="1"/>
    </xf>
    <xf numFmtId="165" fontId="33" fillId="2" borderId="9" xfId="0" applyNumberFormat="1" applyFont="1" applyFill="1" applyBorder="1" applyAlignment="1">
      <alignment horizontal="right" vertical="center" indent="1"/>
    </xf>
    <xf numFmtId="0" fontId="33" fillId="2" borderId="9" xfId="0" applyFont="1" applyFill="1" applyBorder="1" applyAlignment="1">
      <alignment horizontal="center" vertical="center"/>
    </xf>
    <xf numFmtId="0" fontId="14" fillId="0" borderId="0" xfId="0" applyFont="1" applyAlignment="1" applyProtection="1">
      <alignment horizontal="right" indent="1"/>
      <protection locked="0"/>
    </xf>
    <xf numFmtId="164" fontId="33" fillId="0" borderId="0" xfId="0" applyNumberFormat="1" applyFont="1" applyAlignment="1">
      <alignment horizontal="right" indent="1"/>
    </xf>
    <xf numFmtId="0" fontId="33" fillId="0" borderId="0" xfId="0" applyFont="1" applyAlignment="1" applyProtection="1">
      <alignment horizontal="right" indent="1"/>
      <protection locked="0"/>
    </xf>
    <xf numFmtId="0" fontId="25" fillId="0" borderId="0" xfId="0" applyFont="1" applyAlignment="1" applyProtection="1">
      <alignment horizontal="center"/>
      <protection locked="0"/>
    </xf>
    <xf numFmtId="0" fontId="7" fillId="0" borderId="0" xfId="4" applyFill="1" applyBorder="1" applyAlignment="1" applyProtection="1">
      <alignment horizontal="center"/>
      <protection locked="0"/>
    </xf>
    <xf numFmtId="0" fontId="9" fillId="0" borderId="0" xfId="0" applyFont="1"/>
    <xf numFmtId="0" fontId="11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 wrapText="1" indent="1" shrinkToFit="1"/>
    </xf>
    <xf numFmtId="0" fontId="0" fillId="0" borderId="0" xfId="0" applyAlignment="1">
      <alignment horizontal="left" vertical="top" indent="1" shrinkToFit="1"/>
    </xf>
    <xf numFmtId="0" fontId="36" fillId="0" borderId="0" xfId="4" applyFont="1" applyBorder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15" fontId="15" fillId="0" borderId="0" xfId="0" applyNumberFormat="1" applyFont="1" applyAlignment="1">
      <alignment horizontal="left" vertical="center" indent="1"/>
    </xf>
    <xf numFmtId="0" fontId="34" fillId="0" borderId="15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18" fillId="0" borderId="0" xfId="4" quotePrefix="1" applyFont="1" applyAlignment="1">
      <alignment horizontal="left" vertical="top" wrapText="1" indent="1"/>
    </xf>
    <xf numFmtId="0" fontId="27" fillId="0" borderId="0" xfId="0" quotePrefix="1" applyFont="1" applyAlignment="1">
      <alignment horizontal="left" vertical="top" indent="1"/>
    </xf>
    <xf numFmtId="0" fontId="37" fillId="0" borderId="0" xfId="0" applyFont="1" applyAlignment="1">
      <alignment horizontal="left" vertical="center" wrapText="1" indent="1"/>
    </xf>
    <xf numFmtId="0" fontId="35" fillId="0" borderId="0" xfId="0" applyFont="1" applyAlignment="1">
      <alignment horizontal="left" vertical="center" wrapText="1" indent="1"/>
    </xf>
  </cellXfs>
  <cellStyles count="9">
    <cellStyle name="Followed Hyperlink" xfId="6" builtinId="9" hidden="1"/>
    <cellStyle name="Followed Hyperlink" xfId="7" builtinId="9" hidden="1"/>
    <cellStyle name="Followed Hyperlink" xfId="5" builtinId="9" hidden="1"/>
    <cellStyle name="Followed Hyperlink" xfId="3" builtinId="9" hidden="1"/>
    <cellStyle name="Heading 1" xfId="1" builtinId="16" customBuiltin="1"/>
    <cellStyle name="Heading 4" xfId="8" builtinId="19"/>
    <cellStyle name="Hyperlink" xfId="2" builtinId="8" hidden="1"/>
    <cellStyle name="Hyperlink" xfId="4" builtinId="8"/>
    <cellStyle name="Normal" xfId="0" builtinId="0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minor"/>
      </font>
      <numFmt numFmtId="165" formatCode="[$ZAR]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relativeIndent="1" justifyLastLine="0" shrinkToFit="0" readingOrder="0"/>
      <border diagonalUp="0" diagonalDown="0">
        <left/>
        <right style="medium">
          <color theme="0" tint="-0.34998626667073579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minor"/>
      </font>
      <numFmt numFmtId="165" formatCode="[$ZAR]\ #,##0.00"/>
      <fill>
        <patternFill patternType="solid">
          <fgColor indexed="64"/>
          <bgColor theme="0" tint="-4.9989318521683403E-2"/>
        </patternFill>
      </fill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relativeIndent="1" justifyLastLine="0" shrinkToFit="0" readingOrder="0"/>
    </dxf>
    <dxf>
      <border outline="0">
        <bottom style="thick">
          <color theme="6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7D898"/>
      <color rgb="FFE74822"/>
      <color rgb="FFFF00CE"/>
      <color rgb="FFFDD0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733778</xdr:colOff>
      <xdr:row>0</xdr:row>
      <xdr:rowOff>0</xdr:rowOff>
    </xdr:from>
    <xdr:to>
      <xdr:col>3</xdr:col>
      <xdr:colOff>2441221</xdr:colOff>
      <xdr:row>1</xdr:row>
      <xdr:rowOff>112889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549483-D756-4DA2-977C-9139D5DBFFC9}"/>
            </a:ext>
          </a:extLst>
        </xdr:cNvPr>
        <xdr:cNvSpPr txBox="1"/>
      </xdr:nvSpPr>
      <xdr:spPr>
        <a:xfrm>
          <a:off x="9087556" y="0"/>
          <a:ext cx="1707443" cy="649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r"/>
          <a:r>
            <a:rPr lang="en-ZA" sz="1800" b="1"/>
            <a:t>Pro Forma TAX INVOICE</a:t>
          </a:r>
          <a:endParaRPr lang="x-none" sz="1800" b="1"/>
        </a:p>
      </xdr:txBody>
    </xdr:sp>
    <xdr:clientData/>
  </xdr:twoCellAnchor>
  <xdr:twoCellAnchor editAs="oneCell">
    <xdr:from>
      <xdr:col>0</xdr:col>
      <xdr:colOff>2889730</xdr:colOff>
      <xdr:row>2</xdr:row>
      <xdr:rowOff>334472</xdr:rowOff>
    </xdr:from>
    <xdr:to>
      <xdr:col>1</xdr:col>
      <xdr:colOff>368797</xdr:colOff>
      <xdr:row>7</xdr:row>
      <xdr:rowOff>194505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ED03FC-3E52-856E-50AB-B7E729FD3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9730" y="1089607"/>
          <a:ext cx="2948076" cy="11643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4:D21" totalsRowShown="0" headerRowDxfId="7" dataDxfId="5" headerRowBorderDxfId="6" tableBorderDxfId="4">
  <autoFilter ref="A14:D21" xr:uid="{00000000-0009-0000-0100-000001000000}"/>
  <tableColumns count="4">
    <tableColumn id="1" xr3:uid="{00000000-0010-0000-0000-000001000000}" name="Description" dataDxfId="3"/>
    <tableColumn id="2" xr3:uid="{00000000-0010-0000-0000-000002000000}" name="Pax" dataDxfId="2"/>
    <tableColumn id="3" xr3:uid="{00000000-0010-0000-0000-000003000000}" name="Total" dataDxfId="1"/>
    <tableColumn id="4" xr3:uid="{00000000-0010-0000-0000-000004000000}" name="Amount" dataDxfId="0">
      <calculatedColumnFormula>Table1[[#This Row],[Total]]</calculatedColumnFormula>
    </tableColumn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Plaza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Plaza">
      <a:majorFont>
        <a:latin typeface="Century Gothic"/>
        <a:ea typeface=""/>
        <a:cs typeface=""/>
        <a:font script="Jpan" typeface="メイリオ"/>
      </a:majorFont>
      <a:minorFont>
        <a:latin typeface="Century Gothic"/>
        <a:ea typeface=""/>
        <a:cs typeface=""/>
        <a:font script="Jpan" typeface="メイリオ"/>
      </a:minorFont>
    </a:fontScheme>
    <a:fmtScheme name="Plaza">
      <a: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60000"/>
                <a:satMod val="135000"/>
              </a:schemeClr>
            </a:gs>
            <a:gs pos="100000">
              <a:schemeClr val="phClr">
                <a:tint val="100000"/>
                <a:shade val="100000"/>
                <a:satMod val="13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0000"/>
                <a:satMod val="120000"/>
              </a:schemeClr>
            </a:gs>
            <a:gs pos="35000">
              <a:schemeClr val="phClr">
                <a:shade val="100000"/>
                <a:satMod val="150000"/>
              </a:schemeClr>
            </a:gs>
            <a:gs pos="70000">
              <a:schemeClr val="phClr">
                <a:tint val="100000"/>
                <a:shade val="100000"/>
                <a:satMod val="200000"/>
                <a:greenMod val="100000"/>
              </a:schemeClr>
            </a:gs>
            <a:gs pos="100000">
              <a:schemeClr val="phClr">
                <a:tint val="100000"/>
                <a:shade val="100000"/>
                <a:satMod val="250000"/>
                <a:greenMod val="100000"/>
              </a:schemeClr>
            </a:gs>
          </a:gsLst>
          <a:lin ang="16200000" scaled="1"/>
        </a:gra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17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190500" dist="63500" dir="5400000">
              <a:srgbClr val="FFFFFF">
                <a:alpha val="65000"/>
              </a:srgbClr>
            </a:innerShdw>
          </a:effectLst>
          <a:scene3d>
            <a:camera prst="orthographicFront">
              <a:rot lat="0" lon="0" rev="0"/>
            </a:camera>
            <a:lightRig rig="twoPt" dir="r">
              <a:rot lat="0" lon="0" rev="6000000"/>
            </a:lightRig>
          </a:scene3d>
          <a:sp3d prstMaterial="matte">
            <a:bevelT w="0" h="0" prst="relaxedInset"/>
          </a:sp3d>
        </a:effectStyle>
        <a:effectStyle>
          <a:effectLst>
            <a:innerShdw blurRad="50800" dist="25400" dir="13500000">
              <a:srgbClr val="FFFFFF">
                <a:alpha val="75000"/>
              </a:srgbClr>
            </a:innerShdw>
            <a:outerShdw blurRad="88900" dist="38100" dir="6600000" sx="101000" sy="101000" rotWithShape="0">
              <a:srgbClr val="000000">
                <a:alpha val="50000"/>
              </a:srgbClr>
            </a:outerShdw>
          </a:effectLst>
          <a:scene3d>
            <a:camera prst="perspectiveFront" fov="3000000"/>
            <a:lightRig rig="morning" dir="tl">
              <a:rot lat="0" lon="0" rev="1800000"/>
            </a:lightRig>
          </a:scene3d>
          <a:sp3d contourW="38100" prstMaterial="softEdge">
            <a:bevelT w="25400" h="38100"/>
            <a:contourClr>
              <a:schemeClr val="phClr">
                <a:tint val="6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/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ert-tracks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8"/>
  <sheetViews>
    <sheetView showGridLines="0" tabSelected="1" zoomScale="111" zoomScaleNormal="125" workbookViewId="0">
      <selection activeCell="C7" sqref="C7:D8"/>
    </sheetView>
  </sheetViews>
  <sheetFormatPr baseColWidth="10" defaultColWidth="8.7109375" defaultRowHeight="16" x14ac:dyDescent="0.2"/>
  <cols>
    <col min="1" max="1" width="61.5703125" style="1" customWidth="1"/>
    <col min="2" max="2" width="10.7109375" style="1" customWidth="1"/>
    <col min="3" max="3" width="21.5703125" style="1" customWidth="1"/>
    <col min="4" max="4" width="27.42578125" style="1" customWidth="1"/>
    <col min="5" max="16384" width="8.7109375" style="1"/>
  </cols>
  <sheetData>
    <row r="1" spans="1:9" ht="56" customHeight="1" x14ac:dyDescent="0.25">
      <c r="A1" s="67"/>
      <c r="B1" s="67"/>
      <c r="C1" s="67"/>
      <c r="D1" s="67"/>
    </row>
    <row r="2" spans="1:9" ht="17" customHeight="1" x14ac:dyDescent="0.2">
      <c r="A2" s="56" t="s">
        <v>22</v>
      </c>
      <c r="B2" s="33"/>
      <c r="C2" s="7"/>
      <c r="D2" s="7"/>
    </row>
    <row r="3" spans="1:9" ht="34" x14ac:dyDescent="0.2">
      <c r="A3" s="53" t="s">
        <v>16</v>
      </c>
      <c r="B3" s="33"/>
      <c r="C3" s="8" t="s">
        <v>0</v>
      </c>
      <c r="D3" s="62">
        <v>1234</v>
      </c>
    </row>
    <row r="4" spans="1:9" x14ac:dyDescent="0.2">
      <c r="A4" s="9" t="s">
        <v>17</v>
      </c>
      <c r="B4" s="33"/>
      <c r="C4" s="8" t="s">
        <v>1</v>
      </c>
      <c r="D4" s="63">
        <v>45053</v>
      </c>
    </row>
    <row r="5" spans="1:9" x14ac:dyDescent="0.2">
      <c r="A5" s="29">
        <v>7441</v>
      </c>
      <c r="B5" s="33"/>
      <c r="C5" s="9" t="s">
        <v>2</v>
      </c>
      <c r="D5" s="64" t="s">
        <v>27</v>
      </c>
    </row>
    <row r="6" spans="1:9" ht="16" customHeight="1" x14ac:dyDescent="0.2">
      <c r="A6" s="54" t="s">
        <v>19</v>
      </c>
      <c r="B6" s="33"/>
      <c r="C6" s="69"/>
      <c r="D6" s="70"/>
    </row>
    <row r="7" spans="1:9" ht="20" customHeight="1" x14ac:dyDescent="0.2">
      <c r="A7" s="30" t="s">
        <v>3</v>
      </c>
      <c r="B7" s="33"/>
      <c r="C7" s="79"/>
      <c r="D7" s="80"/>
    </row>
    <row r="8" spans="1:9" ht="72" customHeight="1" x14ac:dyDescent="0.2">
      <c r="A8" s="39" t="s">
        <v>18</v>
      </c>
      <c r="B8" s="33"/>
      <c r="C8" s="77"/>
      <c r="D8" s="78"/>
    </row>
    <row r="9" spans="1:9" ht="16" customHeight="1" x14ac:dyDescent="0.2">
      <c r="A9" s="31" t="s">
        <v>4</v>
      </c>
      <c r="B9" s="33"/>
      <c r="C9" s="71"/>
      <c r="D9" s="72"/>
    </row>
    <row r="10" spans="1:9" x14ac:dyDescent="0.2">
      <c r="A10" s="32"/>
      <c r="B10" s="33"/>
      <c r="C10" s="73"/>
      <c r="D10" s="73"/>
    </row>
    <row r="11" spans="1:9" x14ac:dyDescent="0.2">
      <c r="A11" s="17"/>
      <c r="B11" s="16"/>
      <c r="C11" s="16"/>
      <c r="D11" s="20"/>
    </row>
    <row r="12" spans="1:9" ht="34" customHeight="1" x14ac:dyDescent="0.2">
      <c r="A12" s="74" t="s">
        <v>28</v>
      </c>
      <c r="B12" s="75"/>
      <c r="C12" s="75"/>
      <c r="D12" s="76"/>
    </row>
    <row r="13" spans="1:9" ht="17.25" customHeight="1" x14ac:dyDescent="0.2">
      <c r="A13" s="21"/>
      <c r="B13" s="4"/>
      <c r="C13" s="4"/>
      <c r="D13" s="22"/>
    </row>
    <row r="14" spans="1:9" s="2" customFormat="1" ht="20" customHeight="1" x14ac:dyDescent="0.2">
      <c r="A14" s="45" t="s">
        <v>5</v>
      </c>
      <c r="B14" s="34" t="s">
        <v>6</v>
      </c>
      <c r="C14" s="34" t="s">
        <v>7</v>
      </c>
      <c r="D14" s="34" t="s">
        <v>8</v>
      </c>
    </row>
    <row r="15" spans="1:9" s="2" customFormat="1" ht="21" customHeight="1" thickBot="1" x14ac:dyDescent="0.25">
      <c r="A15" s="59" t="s">
        <v>26</v>
      </c>
      <c r="B15" s="61">
        <v>2</v>
      </c>
      <c r="C15" s="60">
        <v>1234</v>
      </c>
      <c r="D15" s="46">
        <f>SUM(Table1[[#This Row],[Pax]]*Table1[[#This Row],[Total]])</f>
        <v>2468</v>
      </c>
    </row>
    <row r="16" spans="1:9" s="2" customFormat="1" ht="20" customHeight="1" thickBot="1" x14ac:dyDescent="0.25">
      <c r="A16" s="25"/>
      <c r="B16" s="13"/>
      <c r="C16" s="12"/>
      <c r="D16" s="46"/>
      <c r="I16" s="5"/>
    </row>
    <row r="17" spans="1:21" s="2" customFormat="1" ht="20" customHeight="1" thickBot="1" x14ac:dyDescent="0.25">
      <c r="A17" s="26"/>
      <c r="B17" s="14"/>
      <c r="C17" s="12"/>
      <c r="D17" s="47"/>
      <c r="E17" s="3"/>
      <c r="F17" s="3"/>
      <c r="G17" s="3"/>
      <c r="H17" s="3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s="2" customFormat="1" ht="20" customHeight="1" thickBot="1" x14ac:dyDescent="0.25">
      <c r="A18" s="26"/>
      <c r="B18" s="13"/>
      <c r="C18" s="15"/>
      <c r="D18" s="48"/>
      <c r="G18" s="6"/>
      <c r="I18" s="5"/>
    </row>
    <row r="19" spans="1:21" s="2" customFormat="1" ht="20" customHeight="1" thickBot="1" x14ac:dyDescent="0.25">
      <c r="A19" s="41"/>
      <c r="B19" s="13"/>
      <c r="C19" s="15"/>
      <c r="D19" s="48"/>
    </row>
    <row r="20" spans="1:21" s="2" customFormat="1" ht="20" customHeight="1" thickBot="1" x14ac:dyDescent="0.25">
      <c r="A20" s="58" t="s">
        <v>29</v>
      </c>
      <c r="B20" s="13"/>
      <c r="C20" s="15"/>
      <c r="D20" s="49"/>
    </row>
    <row r="21" spans="1:21" s="2" customFormat="1" ht="20" customHeight="1" thickBot="1" x14ac:dyDescent="0.25">
      <c r="A21" s="57"/>
      <c r="B21" s="23"/>
      <c r="C21" s="24"/>
      <c r="D21" s="50"/>
    </row>
    <row r="22" spans="1:21" s="2" customFormat="1" ht="20" customHeight="1" x14ac:dyDescent="0.2">
      <c r="A22" s="27"/>
      <c r="C22" s="11" t="s">
        <v>9</v>
      </c>
      <c r="D22" s="51">
        <f>SUM(D15:D21)</f>
        <v>2468</v>
      </c>
    </row>
    <row r="23" spans="1:21" s="2" customFormat="1" ht="20" customHeight="1" x14ac:dyDescent="0.2">
      <c r="C23" s="11" t="s">
        <v>10</v>
      </c>
      <c r="D23" s="51">
        <f>SUM(D22-D24)</f>
        <v>321.91304347826053</v>
      </c>
    </row>
    <row r="24" spans="1:21" s="2" customFormat="1" ht="20" customHeight="1" x14ac:dyDescent="0.2">
      <c r="A24" s="28"/>
      <c r="C24" s="10" t="s">
        <v>11</v>
      </c>
      <c r="D24" s="51">
        <f>SUM(D22/1.15)</f>
        <v>2146.0869565217395</v>
      </c>
    </row>
    <row r="25" spans="1:21" s="2" customFormat="1" ht="29" customHeight="1" x14ac:dyDescent="0.2">
      <c r="A25" s="35"/>
      <c r="B25" s="36"/>
      <c r="C25" s="37" t="s">
        <v>12</v>
      </c>
      <c r="D25" s="52">
        <f>D22</f>
        <v>2468</v>
      </c>
    </row>
    <row r="26" spans="1:21" ht="36" customHeight="1" x14ac:dyDescent="0.2">
      <c r="A26" s="68" t="s">
        <v>13</v>
      </c>
      <c r="B26" s="68"/>
      <c r="C26" s="68"/>
      <c r="D26" s="68"/>
    </row>
    <row r="28" spans="1:21" ht="21" x14ac:dyDescent="0.25">
      <c r="A28" s="42" t="s">
        <v>15</v>
      </c>
      <c r="B28" s="65"/>
      <c r="C28" s="65"/>
      <c r="D28" s="65"/>
    </row>
    <row r="29" spans="1:21" ht="21" x14ac:dyDescent="0.25">
      <c r="A29" s="38"/>
      <c r="B29" s="66"/>
      <c r="C29" s="66"/>
      <c r="D29" s="66"/>
    </row>
    <row r="30" spans="1:21" ht="18" x14ac:dyDescent="0.2">
      <c r="A30" s="40" t="s">
        <v>30</v>
      </c>
      <c r="B30" s="18"/>
    </row>
    <row r="31" spans="1:21" ht="18" x14ac:dyDescent="0.2">
      <c r="A31" s="55" t="s">
        <v>20</v>
      </c>
      <c r="B31" s="18"/>
    </row>
    <row r="32" spans="1:21" ht="18" x14ac:dyDescent="0.2">
      <c r="A32" s="40" t="s">
        <v>21</v>
      </c>
      <c r="B32" s="18"/>
    </row>
    <row r="33" spans="1:2" ht="18" x14ac:dyDescent="0.2">
      <c r="A33" s="40" t="s">
        <v>23</v>
      </c>
      <c r="B33" s="18"/>
    </row>
    <row r="34" spans="1:2" ht="18" x14ac:dyDescent="0.2">
      <c r="A34" s="40" t="s">
        <v>24</v>
      </c>
      <c r="B34" s="18"/>
    </row>
    <row r="35" spans="1:2" ht="18" x14ac:dyDescent="0.2">
      <c r="A35" s="40" t="s">
        <v>25</v>
      </c>
      <c r="B35" s="18"/>
    </row>
    <row r="36" spans="1:2" x14ac:dyDescent="0.2">
      <c r="A36" s="40"/>
      <c r="B36" s="19"/>
    </row>
    <row r="37" spans="1:2" x14ac:dyDescent="0.2">
      <c r="A37" s="44" t="s">
        <v>14</v>
      </c>
    </row>
    <row r="38" spans="1:2" x14ac:dyDescent="0.2">
      <c r="A38" s="43"/>
    </row>
  </sheetData>
  <sheetProtection formatCells="0" formatColumns="0" formatRows="0" insertHyperlinks="0" selectLockedCells="1" sort="0" autoFilter="0"/>
  <mergeCells count="10">
    <mergeCell ref="B28:D28"/>
    <mergeCell ref="B29:D29"/>
    <mergeCell ref="A1:D1"/>
    <mergeCell ref="A26:D26"/>
    <mergeCell ref="C6:D6"/>
    <mergeCell ref="C9:D9"/>
    <mergeCell ref="C10:D10"/>
    <mergeCell ref="A12:D12"/>
    <mergeCell ref="C8:D8"/>
    <mergeCell ref="C7:D7"/>
  </mergeCells>
  <phoneticPr fontId="5" type="noConversion"/>
  <hyperlinks>
    <hyperlink ref="A9" r:id="rId1" xr:uid="{6A562816-9030-8846-AFD6-138AC124A8E9}"/>
  </hyperlinks>
  <printOptions horizontalCentered="1"/>
  <pageMargins left="0.5" right="0.5" top="0.5" bottom="0.5" header="0.5" footer="0.5"/>
  <pageSetup paperSize="9" scale="61" orientation="portrait" r:id="rId2"/>
  <headerFooter>
    <oddFooter>&amp;F&amp;RPage &amp;P</oddFooter>
  </headerFooter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 Pro forma Invoice</vt:lpstr>
      <vt:lpstr>'SA Pro forma Invoice'!Print_Area</vt:lpstr>
      <vt:lpstr>rngInvoice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Desert-Tracks</dc:creator>
  <cp:keywords/>
  <dc:description/>
  <cp:lastModifiedBy>DESERT TRACKS</cp:lastModifiedBy>
  <cp:revision/>
  <cp:lastPrinted>2023-03-29T09:32:53Z</cp:lastPrinted>
  <dcterms:created xsi:type="dcterms:W3CDTF">2010-04-08T23:43:53Z</dcterms:created>
  <dcterms:modified xsi:type="dcterms:W3CDTF">2025-07-11T05:32:07Z</dcterms:modified>
  <cp:category/>
  <cp:contentStatus/>
</cp:coreProperties>
</file>